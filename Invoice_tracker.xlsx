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Desktop\"/>
    </mc:Choice>
  </mc:AlternateContent>
  <xr:revisionPtr revIDLastSave="0" documentId="13_ncr:1_{7DA92F81-169F-4293-86DF-8346EAC5E45C}" xr6:coauthVersionLast="47" xr6:coauthVersionMax="47" xr10:uidLastSave="{00000000-0000-0000-0000-000000000000}"/>
  <bookViews>
    <workbookView xWindow="-120" yWindow="-120" windowWidth="20730" windowHeight="11040" activeTab="2" xr2:uid="{0556A0E3-B886-4DA1-99D7-3B9F63DA2C03}"/>
  </bookViews>
  <sheets>
    <sheet name="Invoice_tracker" sheetId="2" r:id="rId1"/>
    <sheet name="Sheet1" sheetId="4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2" l="1"/>
  <c r="G21" i="2"/>
  <c r="H21" i="2" s="1"/>
  <c r="A20" i="2"/>
  <c r="G20" i="2"/>
  <c r="H20" i="2" s="1"/>
  <c r="A19" i="2"/>
  <c r="G19" i="2"/>
  <c r="H19" i="2" s="1"/>
  <c r="A18" i="2"/>
  <c r="G18" i="2"/>
  <c r="H18" i="2" s="1"/>
  <c r="A17" i="2"/>
  <c r="G17" i="2"/>
  <c r="H17" i="2" s="1"/>
  <c r="A16" i="2"/>
  <c r="G16" i="2"/>
  <c r="H16" i="2" s="1"/>
  <c r="A15" i="2"/>
  <c r="G15" i="2"/>
  <c r="H15" i="2" s="1"/>
  <c r="A14" i="2"/>
  <c r="G14" i="2"/>
  <c r="H14" i="2" s="1"/>
  <c r="A13" i="2"/>
  <c r="G13" i="2"/>
  <c r="H13" i="2" s="1"/>
  <c r="A12" i="2"/>
  <c r="G12" i="2"/>
  <c r="H12" i="2" s="1"/>
  <c r="A11" i="2"/>
  <c r="G11" i="2"/>
  <c r="H11" i="2" s="1"/>
  <c r="A10" i="2"/>
  <c r="G10" i="2"/>
  <c r="H10" i="2" s="1"/>
  <c r="A4" i="2"/>
  <c r="G4" i="2"/>
  <c r="H4" i="2" s="1"/>
  <c r="A9" i="2"/>
  <c r="G9" i="2"/>
  <c r="H9" i="2" s="1"/>
  <c r="A8" i="2"/>
  <c r="G8" i="2"/>
  <c r="H8" i="2" s="1"/>
  <c r="A7" i="2"/>
  <c r="G7" i="2"/>
  <c r="H7" i="2" s="1"/>
  <c r="A6" i="2"/>
  <c r="G6" i="2"/>
  <c r="H6" i="2" s="1"/>
  <c r="G2" i="2"/>
  <c r="H2" i="2" s="1"/>
  <c r="G3" i="2"/>
  <c r="H3" i="2" s="1"/>
  <c r="G5" i="2"/>
  <c r="H5" i="2" s="1"/>
  <c r="A3" i="2"/>
  <c r="A5" i="2"/>
  <c r="A2" i="2"/>
  <c r="T10" i="3" l="1"/>
  <c r="T9" i="3"/>
  <c r="T8" i="3"/>
  <c r="I20" i="2"/>
  <c r="I21" i="2"/>
  <c r="I19" i="2"/>
  <c r="I18" i="2"/>
  <c r="I16" i="2"/>
  <c r="I17" i="2"/>
  <c r="I15" i="2"/>
  <c r="I14" i="2"/>
  <c r="I13" i="2"/>
  <c r="I12" i="2"/>
  <c r="I11" i="2"/>
  <c r="I10" i="2"/>
  <c r="I4" i="2"/>
  <c r="I9" i="2"/>
  <c r="I8" i="2"/>
  <c r="I7" i="2"/>
  <c r="I6" i="2"/>
  <c r="I3" i="2"/>
  <c r="I5" i="2"/>
  <c r="I2" i="2"/>
</calcChain>
</file>

<file path=xl/sharedStrings.xml><?xml version="1.0" encoding="utf-8"?>
<sst xmlns="http://schemas.openxmlformats.org/spreadsheetml/2006/main" count="35" uniqueCount="35">
  <si>
    <t>Invoice ID</t>
  </si>
  <si>
    <t>Customer Name</t>
  </si>
  <si>
    <t>Invoice Date</t>
  </si>
  <si>
    <t>Due Date</t>
  </si>
  <si>
    <t>Amount</t>
  </si>
  <si>
    <t>Amount Paid</t>
  </si>
  <si>
    <t>P Paramasivam</t>
  </si>
  <si>
    <t>S Ajay Krishna</t>
  </si>
  <si>
    <t>K karthikeyan</t>
  </si>
  <si>
    <t>Status</t>
  </si>
  <si>
    <t>Overdue</t>
  </si>
  <si>
    <t>Alert</t>
  </si>
  <si>
    <t>S akash</t>
  </si>
  <si>
    <t>INVOICE TRACKING DASHBOARD</t>
  </si>
  <si>
    <t>S Sangeetha</t>
  </si>
  <si>
    <t>A Prakash</t>
  </si>
  <si>
    <t>D Raj Prajan</t>
  </si>
  <si>
    <t>E Abisheh</t>
  </si>
  <si>
    <t>M Manish</t>
  </si>
  <si>
    <t>S Nithish</t>
  </si>
  <si>
    <t>D Paranjith</t>
  </si>
  <si>
    <t>M Karthi</t>
  </si>
  <si>
    <t>R Rithiksha</t>
  </si>
  <si>
    <t>M Manish Kannan</t>
  </si>
  <si>
    <t>G Ragavendran</t>
  </si>
  <si>
    <t>F Prathishashini</t>
  </si>
  <si>
    <t>H Manikumaran</t>
  </si>
  <si>
    <t>K Aghalya</t>
  </si>
  <si>
    <t>T Antony</t>
  </si>
  <si>
    <t>M  Krishna</t>
  </si>
  <si>
    <t>PAID</t>
  </si>
  <si>
    <t>OVERDUE</t>
  </si>
  <si>
    <t>PENDING</t>
  </si>
  <si>
    <t>STATUS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</si>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</sst>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0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theme="9"/>
        </patternFill>
      </fill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F9933"/>
      <color rgb="FFFFC489"/>
      <color rgb="FFF85A65"/>
      <color rgb="FFFF33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PAID Vs OUTSTANDING</a:t>
            </a: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PAID AMOUNT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A70-45B9-997E-1C0A061423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Dashboard!$Z$18:$Z$19</c:f>
              <c:numCache>
                <c:formatCode>General</c:formatCode>
                <c:ptCount val="2"/>
                <c:pt idx="0">
                  <c:v>120000</c:v>
                </c:pt>
                <c:pt idx="1">
                  <c:v>862000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0-45B9-997E-1C0A0614239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INVOICE</a:t>
            </a:r>
            <a:r>
              <a:rPr lang="en-US" baseline="0">
                <a:solidFill>
                  <a:schemeClr val="bg1"/>
                </a:solidFill>
              </a:rPr>
              <a:t> STATUS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accent5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2247594050743642E-2"/>
          <c:y val="0.16708333333333336"/>
          <c:w val="0.9155301837270341"/>
          <c:h val="0.7208876494604841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Dashboard!$T$7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4CD0-4A57-9591-78B2CF4E391A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4CD0-4A57-9591-78B2CF4E391A}"/>
              </c:ext>
            </c:extLst>
          </c:dPt>
          <c:cat>
            <c:strRef>
              <c:f>Dashboard!$S$8:$S$10</c:f>
              <c:strCache>
                <c:ptCount val="3"/>
                <c:pt idx="0">
                  <c:v>PAID</c:v>
                </c:pt>
                <c:pt idx="1">
                  <c:v>OVERDUE</c:v>
                </c:pt>
                <c:pt idx="2">
                  <c:v>PENDING</c:v>
                </c:pt>
              </c:strCache>
            </c:strRef>
          </c:cat>
          <c:val>
            <c:numRef>
              <c:f>Dashboard!$T$8:$T$10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0-4A57-9591-78B2CF4E3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0"/>
        <c:shape val="box"/>
        <c:axId val="1852672383"/>
        <c:axId val="1852668063"/>
        <c:axId val="0"/>
      </c:bar3DChart>
      <c:catAx>
        <c:axId val="185267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68063"/>
        <c:crosses val="autoZero"/>
        <c:auto val="1"/>
        <c:lblAlgn val="ctr"/>
        <c:lblOffset val="100"/>
        <c:noMultiLvlLbl val="0"/>
      </c:catAx>
      <c:valAx>
        <c:axId val="185266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7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microsoft.com/office/2007/relationships/hdphoto" Target="../media/hdphoto1.wdp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chart" Target="../charts/chart2.xml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3</xdr:row>
      <xdr:rowOff>161925</xdr:rowOff>
    </xdr:from>
    <xdr:to>
      <xdr:col>7</xdr:col>
      <xdr:colOff>228600</xdr:colOff>
      <xdr:row>7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D567FB2-75C5-B276-BFB0-FA6C130E2D77}"/>
            </a:ext>
          </a:extLst>
        </xdr:cNvPr>
        <xdr:cNvSpPr/>
      </xdr:nvSpPr>
      <xdr:spPr>
        <a:xfrm>
          <a:off x="2381250" y="733425"/>
          <a:ext cx="2114550" cy="723900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rgbClr val="000000"/>
          </a:outerShdw>
          <a:reflection endPos="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totTT</a:t>
          </a:r>
        </a:p>
      </xdr:txBody>
    </xdr:sp>
    <xdr:clientData/>
  </xdr:twoCellAnchor>
  <xdr:oneCellAnchor>
    <xdr:from>
      <xdr:col>4</xdr:col>
      <xdr:colOff>586792</xdr:colOff>
      <xdr:row>3</xdr:row>
      <xdr:rowOff>190147</xdr:rowOff>
    </xdr:from>
    <xdr:ext cx="1341842" cy="25628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0DADD0D-7BE5-203A-2B7F-4ED9E7A55003}"/>
            </a:ext>
          </a:extLst>
        </xdr:cNvPr>
        <xdr:cNvSpPr txBox="1"/>
      </xdr:nvSpPr>
      <xdr:spPr>
        <a:xfrm>
          <a:off x="3025192" y="761647"/>
          <a:ext cx="1341842" cy="2562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IN" sz="1100">
              <a:solidFill>
                <a:schemeClr val="accent1">
                  <a:lumMod val="50000"/>
                </a:schemeClr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Total</a:t>
          </a:r>
          <a:r>
            <a:rPr lang="en-IN" sz="1100" baseline="0">
              <a:solidFill>
                <a:schemeClr val="accent1">
                  <a:lumMod val="50000"/>
                </a:schemeClr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 Invoices</a:t>
          </a:r>
          <a:endParaRPr lang="en-IN" sz="1100">
            <a:solidFill>
              <a:schemeClr val="accent1">
                <a:lumMod val="50000"/>
              </a:schemeClr>
            </a:solidFill>
            <a:latin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oneCellAnchor>
  <xdr:twoCellAnchor>
    <xdr:from>
      <xdr:col>4</xdr:col>
      <xdr:colOff>0</xdr:colOff>
      <xdr:row>9</xdr:row>
      <xdr:rowOff>9525</xdr:rowOff>
    </xdr:from>
    <xdr:to>
      <xdr:col>7</xdr:col>
      <xdr:colOff>285750</xdr:colOff>
      <xdr:row>12</xdr:row>
      <xdr:rowOff>161925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E665C509-2676-4B08-A35E-D9BC1A4E8A1B}"/>
            </a:ext>
          </a:extLst>
        </xdr:cNvPr>
        <xdr:cNvSpPr/>
      </xdr:nvSpPr>
      <xdr:spPr>
        <a:xfrm>
          <a:off x="2438400" y="1724025"/>
          <a:ext cx="2114550" cy="723900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rgbClr val="000000"/>
          </a:outerShdw>
          <a:reflection endPos="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totTT</a:t>
          </a:r>
        </a:p>
      </xdr:txBody>
    </xdr:sp>
    <xdr:clientData/>
  </xdr:twoCellAnchor>
  <xdr:twoCellAnchor>
    <xdr:from>
      <xdr:col>8</xdr:col>
      <xdr:colOff>542925</xdr:colOff>
      <xdr:row>3</xdr:row>
      <xdr:rowOff>152400</xdr:rowOff>
    </xdr:from>
    <xdr:to>
      <xdr:col>12</xdr:col>
      <xdr:colOff>219075</xdr:colOff>
      <xdr:row>7</xdr:row>
      <xdr:rowOff>114300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14FCF861-A46D-402B-A9DE-EDE27D4ACBC6}"/>
            </a:ext>
          </a:extLst>
        </xdr:cNvPr>
        <xdr:cNvSpPr/>
      </xdr:nvSpPr>
      <xdr:spPr>
        <a:xfrm>
          <a:off x="5419725" y="723900"/>
          <a:ext cx="2114550" cy="723900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rgbClr val="000000"/>
          </a:outerShdw>
          <a:reflection endPos="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totTT</a:t>
          </a:r>
        </a:p>
      </xdr:txBody>
    </xdr:sp>
    <xdr:clientData/>
  </xdr:twoCellAnchor>
  <xdr:twoCellAnchor>
    <xdr:from>
      <xdr:col>8</xdr:col>
      <xdr:colOff>552450</xdr:colOff>
      <xdr:row>9</xdr:row>
      <xdr:rowOff>9525</xdr:rowOff>
    </xdr:from>
    <xdr:to>
      <xdr:col>12</xdr:col>
      <xdr:colOff>228600</xdr:colOff>
      <xdr:row>12</xdr:row>
      <xdr:rowOff>161925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5ADD91B3-B849-4D3D-A3C9-A0770611F7CD}"/>
            </a:ext>
          </a:extLst>
        </xdr:cNvPr>
        <xdr:cNvSpPr/>
      </xdr:nvSpPr>
      <xdr:spPr>
        <a:xfrm>
          <a:off x="5429250" y="1724025"/>
          <a:ext cx="2114550" cy="723900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rgbClr val="000000"/>
          </a:outerShdw>
          <a:reflection endPos="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totTT</a:t>
          </a:r>
        </a:p>
      </xdr:txBody>
    </xdr:sp>
    <xdr:clientData/>
  </xdr:twoCellAnchor>
  <xdr:twoCellAnchor>
    <xdr:from>
      <xdr:col>13</xdr:col>
      <xdr:colOff>333375</xdr:colOff>
      <xdr:row>4</xdr:row>
      <xdr:rowOff>9525</xdr:rowOff>
    </xdr:from>
    <xdr:to>
      <xdr:col>17</xdr:col>
      <xdr:colOff>9525</xdr:colOff>
      <xdr:row>7</xdr:row>
      <xdr:rowOff>161925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34112AAB-37D6-41C7-AD40-F2AFBB736358}"/>
            </a:ext>
          </a:extLst>
        </xdr:cNvPr>
        <xdr:cNvSpPr/>
      </xdr:nvSpPr>
      <xdr:spPr>
        <a:xfrm>
          <a:off x="8258175" y="771525"/>
          <a:ext cx="2114550" cy="723900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rgbClr val="000000"/>
          </a:outerShdw>
          <a:reflection endPos="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totTT</a:t>
          </a:r>
        </a:p>
      </xdr:txBody>
    </xdr:sp>
    <xdr:clientData/>
  </xdr:twoCellAnchor>
  <xdr:twoCellAnchor>
    <xdr:from>
      <xdr:col>13</xdr:col>
      <xdr:colOff>352425</xdr:colOff>
      <xdr:row>9</xdr:row>
      <xdr:rowOff>19050</xdr:rowOff>
    </xdr:from>
    <xdr:to>
      <xdr:col>17</xdr:col>
      <xdr:colOff>28575</xdr:colOff>
      <xdr:row>12</xdr:row>
      <xdr:rowOff>171450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484869DC-507F-42F0-9727-FED7062FAEF2}"/>
            </a:ext>
          </a:extLst>
        </xdr:cNvPr>
        <xdr:cNvSpPr/>
      </xdr:nvSpPr>
      <xdr:spPr>
        <a:xfrm>
          <a:off x="8277225" y="1733550"/>
          <a:ext cx="2114550" cy="723900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rgbClr val="000000"/>
          </a:outerShdw>
          <a:reflection endPos="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totTT</a:t>
          </a:r>
        </a:p>
      </xdr:txBody>
    </xdr:sp>
    <xdr:clientData/>
  </xdr:twoCellAnchor>
  <xdr:twoCellAnchor editAs="oneCell">
    <xdr:from>
      <xdr:col>6</xdr:col>
      <xdr:colOff>323850</xdr:colOff>
      <xdr:row>0</xdr:row>
      <xdr:rowOff>38100</xdr:rowOff>
    </xdr:from>
    <xdr:to>
      <xdr:col>7</xdr:col>
      <xdr:colOff>28575</xdr:colOff>
      <xdr:row>1</xdr:row>
      <xdr:rowOff>161925</xdr:rowOff>
    </xdr:to>
    <xdr:pic>
      <xdr:nvPicPr>
        <xdr:cNvPr id="22" name="Graphic 21" descr="Document with solid fill">
          <a:extLst>
            <a:ext uri="{FF2B5EF4-FFF2-40B4-BE49-F238E27FC236}">
              <a16:creationId xmlns:a16="http://schemas.microsoft.com/office/drawing/2014/main" id="{2739B838-E1B6-E71A-122C-D080A7635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81450" y="38100"/>
          <a:ext cx="314325" cy="314325"/>
        </a:xfrm>
        <a:prstGeom prst="rect">
          <a:avLst/>
        </a:prstGeom>
      </xdr:spPr>
    </xdr:pic>
    <xdr:clientData/>
  </xdr:twoCellAnchor>
  <xdr:twoCellAnchor>
    <xdr:from>
      <xdr:col>3</xdr:col>
      <xdr:colOff>561975</xdr:colOff>
      <xdr:row>3</xdr:row>
      <xdr:rowOff>152399</xdr:rowOff>
    </xdr:from>
    <xdr:to>
      <xdr:col>4</xdr:col>
      <xdr:colOff>571500</xdr:colOff>
      <xdr:row>7</xdr:row>
      <xdr:rowOff>123824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FDAAB7E5-3CC6-1434-BECF-19479583C005}"/>
            </a:ext>
          </a:extLst>
        </xdr:cNvPr>
        <xdr:cNvSpPr/>
      </xdr:nvSpPr>
      <xdr:spPr>
        <a:xfrm>
          <a:off x="2390775" y="723899"/>
          <a:ext cx="619125" cy="7334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542925</xdr:colOff>
      <xdr:row>3</xdr:row>
      <xdr:rowOff>152400</xdr:rowOff>
    </xdr:from>
    <xdr:to>
      <xdr:col>9</xdr:col>
      <xdr:colOff>552450</xdr:colOff>
      <xdr:row>7</xdr:row>
      <xdr:rowOff>123825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72371531-9829-424F-A7DF-F0D36D9BB9D9}"/>
            </a:ext>
          </a:extLst>
        </xdr:cNvPr>
        <xdr:cNvSpPr/>
      </xdr:nvSpPr>
      <xdr:spPr>
        <a:xfrm>
          <a:off x="5419725" y="723900"/>
          <a:ext cx="619125" cy="7334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552450</xdr:colOff>
      <xdr:row>9</xdr:row>
      <xdr:rowOff>9525</xdr:rowOff>
    </xdr:from>
    <xdr:to>
      <xdr:col>9</xdr:col>
      <xdr:colOff>561975</xdr:colOff>
      <xdr:row>12</xdr:row>
      <xdr:rowOff>171450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AAC5A7BB-E1FA-456A-924C-71B2A45FCE9F}"/>
            </a:ext>
          </a:extLst>
        </xdr:cNvPr>
        <xdr:cNvSpPr/>
      </xdr:nvSpPr>
      <xdr:spPr>
        <a:xfrm>
          <a:off x="5429250" y="1724025"/>
          <a:ext cx="619125" cy="73342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9</xdr:row>
      <xdr:rowOff>9525</xdr:rowOff>
    </xdr:from>
    <xdr:to>
      <xdr:col>5</xdr:col>
      <xdr:colOff>9525</xdr:colOff>
      <xdr:row>12</xdr:row>
      <xdr:rowOff>171450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BF745AD0-9D71-493E-8636-98EFBBD2E84F}"/>
            </a:ext>
          </a:extLst>
        </xdr:cNvPr>
        <xdr:cNvSpPr/>
      </xdr:nvSpPr>
      <xdr:spPr>
        <a:xfrm>
          <a:off x="2438400" y="1724025"/>
          <a:ext cx="619125" cy="733425"/>
        </a:xfrm>
        <a:prstGeom prst="roundRect">
          <a:avLst/>
        </a:prstGeom>
        <a:solidFill>
          <a:srgbClr val="F85A6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323850</xdr:colOff>
      <xdr:row>4</xdr:row>
      <xdr:rowOff>9525</xdr:rowOff>
    </xdr:from>
    <xdr:to>
      <xdr:col>14</xdr:col>
      <xdr:colOff>333375</xdr:colOff>
      <xdr:row>7</xdr:row>
      <xdr:rowOff>171450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DCBE88EA-8281-4D45-A484-7051F8DFD7BB}"/>
            </a:ext>
          </a:extLst>
        </xdr:cNvPr>
        <xdr:cNvSpPr/>
      </xdr:nvSpPr>
      <xdr:spPr>
        <a:xfrm>
          <a:off x="8248650" y="771525"/>
          <a:ext cx="619125" cy="73342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352425</xdr:colOff>
      <xdr:row>9</xdr:row>
      <xdr:rowOff>9525</xdr:rowOff>
    </xdr:from>
    <xdr:to>
      <xdr:col>14</xdr:col>
      <xdr:colOff>361950</xdr:colOff>
      <xdr:row>12</xdr:row>
      <xdr:rowOff>171450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762DA097-E859-4055-8B50-B58ABA91C4C5}"/>
            </a:ext>
          </a:extLst>
        </xdr:cNvPr>
        <xdr:cNvSpPr/>
      </xdr:nvSpPr>
      <xdr:spPr>
        <a:xfrm>
          <a:off x="8277225" y="1724025"/>
          <a:ext cx="619125" cy="7334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38100</xdr:colOff>
      <xdr:row>4</xdr:row>
      <xdr:rowOff>66675</xdr:rowOff>
    </xdr:from>
    <xdr:to>
      <xdr:col>4</xdr:col>
      <xdr:colOff>428625</xdr:colOff>
      <xdr:row>6</xdr:row>
      <xdr:rowOff>171450</xdr:rowOff>
    </xdr:to>
    <xdr:pic>
      <xdr:nvPicPr>
        <xdr:cNvPr id="31" name="Graphic 30" descr="List with solid fill">
          <a:extLst>
            <a:ext uri="{FF2B5EF4-FFF2-40B4-BE49-F238E27FC236}">
              <a16:creationId xmlns:a16="http://schemas.microsoft.com/office/drawing/2014/main" id="{F977EA7B-DAEF-451C-8240-C2F7605C4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476500" y="828675"/>
          <a:ext cx="390525" cy="485775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85724</xdr:colOff>
      <xdr:row>9</xdr:row>
      <xdr:rowOff>152400</xdr:rowOff>
    </xdr:from>
    <xdr:to>
      <xdr:col>4</xdr:col>
      <xdr:colOff>514349</xdr:colOff>
      <xdr:row>12</xdr:row>
      <xdr:rowOff>38100</xdr:rowOff>
    </xdr:to>
    <xdr:pic>
      <xdr:nvPicPr>
        <xdr:cNvPr id="36" name="Graphic 35" descr="Clock with solid fill">
          <a:extLst>
            <a:ext uri="{FF2B5EF4-FFF2-40B4-BE49-F238E27FC236}">
              <a16:creationId xmlns:a16="http://schemas.microsoft.com/office/drawing/2014/main" id="{1ED23660-AC1D-FCCA-A6B9-1196FA38A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524124" y="1866900"/>
          <a:ext cx="428625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9</xdr:row>
      <xdr:rowOff>161925</xdr:rowOff>
    </xdr:from>
    <xdr:to>
      <xdr:col>9</xdr:col>
      <xdr:colOff>476250</xdr:colOff>
      <xdr:row>12</xdr:row>
      <xdr:rowOff>28575</xdr:rowOff>
    </xdr:to>
    <xdr:pic>
      <xdr:nvPicPr>
        <xdr:cNvPr id="38" name="Graphic 37" descr="Daily calendar with solid fill">
          <a:extLst>
            <a:ext uri="{FF2B5EF4-FFF2-40B4-BE49-F238E27FC236}">
              <a16:creationId xmlns:a16="http://schemas.microsoft.com/office/drawing/2014/main" id="{0F956892-E791-4ADB-A195-F0A5BC1FB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524500" y="1876425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457200</xdr:colOff>
      <xdr:row>9</xdr:row>
      <xdr:rowOff>171450</xdr:rowOff>
    </xdr:from>
    <xdr:to>
      <xdr:col>14</xdr:col>
      <xdr:colOff>257175</xdr:colOff>
      <xdr:row>12</xdr:row>
      <xdr:rowOff>9525</xdr:rowOff>
    </xdr:to>
    <xdr:pic>
      <xdr:nvPicPr>
        <xdr:cNvPr id="40" name="Graphic 39" descr="Money with solid fill">
          <a:extLst>
            <a:ext uri="{FF2B5EF4-FFF2-40B4-BE49-F238E27FC236}">
              <a16:creationId xmlns:a16="http://schemas.microsoft.com/office/drawing/2014/main" id="{2CF10EDE-AA82-4E38-125B-4E31F7378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382000" y="1885950"/>
          <a:ext cx="409575" cy="409575"/>
        </a:xfrm>
        <a:prstGeom prst="rect">
          <a:avLst/>
        </a:prstGeom>
      </xdr:spPr>
    </xdr:pic>
    <xdr:clientData/>
  </xdr:twoCellAnchor>
  <xdr:twoCellAnchor editAs="oneCell">
    <xdr:from>
      <xdr:col>13</xdr:col>
      <xdr:colOff>428626</xdr:colOff>
      <xdr:row>4</xdr:row>
      <xdr:rowOff>161925</xdr:rowOff>
    </xdr:from>
    <xdr:to>
      <xdr:col>14</xdr:col>
      <xdr:colOff>238126</xdr:colOff>
      <xdr:row>7</xdr:row>
      <xdr:rowOff>38428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CD52D95-B204-3EAD-2B1B-EAA194726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prstClr val="black"/>
            <a:schemeClr val="accent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>
                      <a14:foregroundMark x1="37931" y1="12903" x2="34483" y2="2419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53426" y="923925"/>
          <a:ext cx="419100" cy="448003"/>
        </a:xfrm>
        <a:prstGeom prst="rect">
          <a:avLst/>
        </a:prstGeom>
      </xdr:spPr>
    </xdr:pic>
    <xdr:clientData/>
  </xdr:twoCellAnchor>
  <xdr:twoCellAnchor editAs="oneCell">
    <xdr:from>
      <xdr:col>8</xdr:col>
      <xdr:colOff>581025</xdr:colOff>
      <xdr:row>4</xdr:row>
      <xdr:rowOff>9526</xdr:rowOff>
    </xdr:from>
    <xdr:to>
      <xdr:col>9</xdr:col>
      <xdr:colOff>542924</xdr:colOff>
      <xdr:row>7</xdr:row>
      <xdr:rowOff>85726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1CABECE-2F56-680D-6927-D9D5D80F9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duotone>
            <a:prstClr val="black"/>
            <a:schemeClr val="accent6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5457825" y="771526"/>
          <a:ext cx="571499" cy="647700"/>
        </a:xfrm>
        <a:prstGeom prst="rect">
          <a:avLst/>
        </a:prstGeom>
      </xdr:spPr>
    </xdr:pic>
    <xdr:clientData/>
  </xdr:twoCellAnchor>
  <xdr:twoCellAnchor>
    <xdr:from>
      <xdr:col>10</xdr:col>
      <xdr:colOff>38100</xdr:colOff>
      <xdr:row>3</xdr:row>
      <xdr:rowOff>180974</xdr:rowOff>
    </xdr:from>
    <xdr:to>
      <xdr:col>12</xdr:col>
      <xdr:colOff>104775</xdr:colOff>
      <xdr:row>5</xdr:row>
      <xdr:rowOff>19049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F41027D-FC98-BDEC-C615-A40BB7282FFC}"/>
            </a:ext>
          </a:extLst>
        </xdr:cNvPr>
        <xdr:cNvSpPr txBox="1"/>
      </xdr:nvSpPr>
      <xdr:spPr>
        <a:xfrm>
          <a:off x="6134100" y="752474"/>
          <a:ext cx="1285875" cy="2190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accent6">
                  <a:lumMod val="50000"/>
                </a:schemeClr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Total</a:t>
          </a:r>
          <a:r>
            <a:rPr lang="en-IN" sz="1100" baseline="0">
              <a:solidFill>
                <a:schemeClr val="accent6">
                  <a:lumMod val="50000"/>
                </a:schemeClr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 Amount</a:t>
          </a:r>
          <a:endParaRPr lang="en-IN" sz="1100">
            <a:solidFill>
              <a:schemeClr val="accent6">
                <a:lumMod val="50000"/>
              </a:schemeClr>
            </a:solidFill>
            <a:latin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twoCellAnchor>
  <xdr:oneCellAnchor>
    <xdr:from>
      <xdr:col>14</xdr:col>
      <xdr:colOff>371476</xdr:colOff>
      <xdr:row>4</xdr:row>
      <xdr:rowOff>28576</xdr:rowOff>
    </xdr:from>
    <xdr:ext cx="1085850" cy="405239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05FB772-15EE-4ED1-D57C-3B36E12B3E48}"/>
            </a:ext>
          </a:extLst>
        </xdr:cNvPr>
        <xdr:cNvSpPr txBox="1"/>
      </xdr:nvSpPr>
      <xdr:spPr>
        <a:xfrm>
          <a:off x="8905876" y="790576"/>
          <a:ext cx="1085850" cy="405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050">
              <a:solidFill>
                <a:schemeClr val="accent2"/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Outstanding Amount</a:t>
          </a:r>
        </a:p>
      </xdr:txBody>
    </xdr:sp>
    <xdr:clientData/>
  </xdr:oneCellAnchor>
  <xdr:twoCellAnchor>
    <xdr:from>
      <xdr:col>5</xdr:col>
      <xdr:colOff>28574</xdr:colOff>
      <xdr:row>9</xdr:row>
      <xdr:rowOff>28575</xdr:rowOff>
    </xdr:from>
    <xdr:to>
      <xdr:col>7</xdr:col>
      <xdr:colOff>228599</xdr:colOff>
      <xdr:row>10</xdr:row>
      <xdr:rowOff>38099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915E334-BA24-AF01-A931-B34AD6AE2CFF}"/>
            </a:ext>
          </a:extLst>
        </xdr:cNvPr>
        <xdr:cNvSpPr txBox="1"/>
      </xdr:nvSpPr>
      <xdr:spPr>
        <a:xfrm>
          <a:off x="3076574" y="1743075"/>
          <a:ext cx="1419225" cy="20002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FF0000"/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Overdue</a:t>
          </a:r>
          <a:r>
            <a:rPr lang="en-IN" sz="1100" baseline="0">
              <a:solidFill>
                <a:srgbClr val="FF0000"/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 Invoice</a:t>
          </a:r>
          <a:endParaRPr lang="en-IN" sz="1100">
            <a:solidFill>
              <a:srgbClr val="FF0000"/>
            </a:solidFill>
            <a:latin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twoCellAnchor>
  <xdr:twoCellAnchor>
    <xdr:from>
      <xdr:col>10</xdr:col>
      <xdr:colOff>190500</xdr:colOff>
      <xdr:row>9</xdr:row>
      <xdr:rowOff>38099</xdr:rowOff>
    </xdr:from>
    <xdr:to>
      <xdr:col>11</xdr:col>
      <xdr:colOff>428625</xdr:colOff>
      <xdr:row>10</xdr:row>
      <xdr:rowOff>57150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9C33314-520C-A538-CDE1-610875F6A3F4}"/>
            </a:ext>
          </a:extLst>
        </xdr:cNvPr>
        <xdr:cNvSpPr txBox="1"/>
      </xdr:nvSpPr>
      <xdr:spPr>
        <a:xfrm>
          <a:off x="6286500" y="1752599"/>
          <a:ext cx="847725" cy="20955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accent4"/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Due Days</a:t>
          </a:r>
        </a:p>
      </xdr:txBody>
    </xdr:sp>
    <xdr:clientData/>
  </xdr:twoCellAnchor>
  <xdr:twoCellAnchor>
    <xdr:from>
      <xdr:col>14</xdr:col>
      <xdr:colOff>504825</xdr:colOff>
      <xdr:row>9</xdr:row>
      <xdr:rowOff>38100</xdr:rowOff>
    </xdr:from>
    <xdr:to>
      <xdr:col>16</xdr:col>
      <xdr:colOff>314325</xdr:colOff>
      <xdr:row>10</xdr:row>
      <xdr:rowOff>104775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598AAD5-F723-44DD-3A79-A1734DCE7C8D}"/>
            </a:ext>
          </a:extLst>
        </xdr:cNvPr>
        <xdr:cNvSpPr txBox="1"/>
      </xdr:nvSpPr>
      <xdr:spPr>
        <a:xfrm>
          <a:off x="9039225" y="1752600"/>
          <a:ext cx="10287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accent6">
                  <a:lumMod val="75000"/>
                </a:schemeClr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Total</a:t>
          </a:r>
          <a:r>
            <a:rPr lang="en-IN" sz="1100" baseline="0">
              <a:solidFill>
                <a:schemeClr val="accent6">
                  <a:lumMod val="75000"/>
                </a:schemeClr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 Paid</a:t>
          </a:r>
          <a:endParaRPr lang="en-IN" sz="1100">
            <a:solidFill>
              <a:schemeClr val="accent6">
                <a:lumMod val="75000"/>
              </a:schemeClr>
            </a:solidFill>
            <a:latin typeface="Cascadia Code" panose="020B0609020000020004" pitchFamily="49" charset="0"/>
            <a:cs typeface="Cascadia Code" panose="020B0609020000020004" pitchFamily="49" charset="0"/>
          </a:endParaRPr>
        </a:p>
      </xdr:txBody>
    </xdr:sp>
    <xdr:clientData/>
  </xdr:twoCellAnchor>
  <xdr:oneCellAnchor>
    <xdr:from>
      <xdr:col>5</xdr:col>
      <xdr:colOff>381000</xdr:colOff>
      <xdr:row>5</xdr:row>
      <xdr:rowOff>66675</xdr:rowOff>
    </xdr:from>
    <xdr:ext cx="455189" cy="36061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7562F74-2494-105A-173C-3B81A7EC9EE2}"/>
            </a:ext>
          </a:extLst>
        </xdr:cNvPr>
        <xdr:cNvSpPr txBox="1"/>
      </xdr:nvSpPr>
      <xdr:spPr>
        <a:xfrm>
          <a:off x="3429000" y="1019175"/>
          <a:ext cx="455189" cy="3606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>
              <a:solidFill>
                <a:schemeClr val="accent5">
                  <a:lumMod val="50000"/>
                </a:schemeClr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20</a:t>
          </a:r>
        </a:p>
      </xdr:txBody>
    </xdr:sp>
    <xdr:clientData/>
  </xdr:oneCellAnchor>
  <xdr:oneCellAnchor>
    <xdr:from>
      <xdr:col>10</xdr:col>
      <xdr:colOff>419100</xdr:colOff>
      <xdr:row>6</xdr:row>
      <xdr:rowOff>85725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44896EC-EA74-F711-DE1A-0993981898A4}"/>
            </a:ext>
          </a:extLst>
        </xdr:cNvPr>
        <xdr:cNvSpPr txBox="1"/>
      </xdr:nvSpPr>
      <xdr:spPr>
        <a:xfrm>
          <a:off x="6515100" y="1228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10</xdr:col>
      <xdr:colOff>285750</xdr:colOff>
      <xdr:row>6</xdr:row>
      <xdr:rowOff>66675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804771A-DF02-6087-701B-DD8C319879C6}"/>
            </a:ext>
          </a:extLst>
        </xdr:cNvPr>
        <xdr:cNvSpPr txBox="1"/>
      </xdr:nvSpPr>
      <xdr:spPr>
        <a:xfrm>
          <a:off x="6381750" y="1209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10</xdr:col>
      <xdr:colOff>152400</xdr:colOff>
      <xdr:row>5</xdr:row>
      <xdr:rowOff>76200</xdr:rowOff>
    </xdr:from>
    <xdr:ext cx="996170" cy="36061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13FEC44-B013-39B9-1495-B00049D8CB52}"/>
            </a:ext>
          </a:extLst>
        </xdr:cNvPr>
        <xdr:cNvSpPr txBox="1"/>
      </xdr:nvSpPr>
      <xdr:spPr>
        <a:xfrm>
          <a:off x="6248400" y="1028700"/>
          <a:ext cx="996170" cy="3606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>
              <a:solidFill>
                <a:schemeClr val="accent6">
                  <a:lumMod val="50000"/>
                </a:schemeClr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982000</a:t>
          </a:r>
        </a:p>
      </xdr:txBody>
    </xdr:sp>
    <xdr:clientData/>
  </xdr:oneCellAnchor>
  <xdr:oneCellAnchor>
    <xdr:from>
      <xdr:col>14</xdr:col>
      <xdr:colOff>533400</xdr:colOff>
      <xdr:row>10</xdr:row>
      <xdr:rowOff>104775</xdr:rowOff>
    </xdr:from>
    <xdr:ext cx="996170" cy="36061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D26F0B3-BB61-F8DB-EF2C-701C4638A5C0}"/>
            </a:ext>
          </a:extLst>
        </xdr:cNvPr>
        <xdr:cNvSpPr txBox="1"/>
      </xdr:nvSpPr>
      <xdr:spPr>
        <a:xfrm>
          <a:off x="9067800" y="2009775"/>
          <a:ext cx="996170" cy="3606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>
              <a:solidFill>
                <a:schemeClr val="accent6">
                  <a:lumMod val="50000"/>
                </a:schemeClr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862000</a:t>
          </a:r>
        </a:p>
      </xdr:txBody>
    </xdr:sp>
    <xdr:clientData/>
  </xdr:oneCellAnchor>
  <xdr:oneCellAnchor>
    <xdr:from>
      <xdr:col>14</xdr:col>
      <xdr:colOff>438151</xdr:colOff>
      <xdr:row>5</xdr:row>
      <xdr:rowOff>190499</xdr:rowOff>
    </xdr:from>
    <xdr:ext cx="1038224" cy="295276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DD469B30-0CC6-8E18-46F1-2B2305C9B684}"/>
            </a:ext>
          </a:extLst>
        </xdr:cNvPr>
        <xdr:cNvSpPr txBox="1"/>
      </xdr:nvSpPr>
      <xdr:spPr>
        <a:xfrm>
          <a:off x="8972551" y="1142999"/>
          <a:ext cx="1038224" cy="295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800">
              <a:solidFill>
                <a:srgbClr val="FF9933"/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120000</a:t>
          </a:r>
        </a:p>
      </xdr:txBody>
    </xdr:sp>
    <xdr:clientData/>
  </xdr:oneCellAnchor>
  <xdr:oneCellAnchor>
    <xdr:from>
      <xdr:col>5</xdr:col>
      <xdr:colOff>514350</xdr:colOff>
      <xdr:row>10</xdr:row>
      <xdr:rowOff>95250</xdr:rowOff>
    </xdr:from>
    <xdr:ext cx="319896" cy="36061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824E031-2C8F-BA93-4877-7F0C2C370A38}"/>
            </a:ext>
          </a:extLst>
        </xdr:cNvPr>
        <xdr:cNvSpPr txBox="1"/>
      </xdr:nvSpPr>
      <xdr:spPr>
        <a:xfrm>
          <a:off x="3562350" y="2000250"/>
          <a:ext cx="319896" cy="3606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>
              <a:solidFill>
                <a:srgbClr val="FF0000"/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8</a:t>
          </a:r>
        </a:p>
      </xdr:txBody>
    </xdr:sp>
    <xdr:clientData/>
  </xdr:oneCellAnchor>
  <xdr:oneCellAnchor>
    <xdr:from>
      <xdr:col>10</xdr:col>
      <xdr:colOff>447675</xdr:colOff>
      <xdr:row>10</xdr:row>
      <xdr:rowOff>114300</xdr:rowOff>
    </xdr:from>
    <xdr:ext cx="319896" cy="36061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A334278-FD2A-7C1F-9F18-6D72C4FFDDA7}"/>
            </a:ext>
          </a:extLst>
        </xdr:cNvPr>
        <xdr:cNvSpPr txBox="1"/>
      </xdr:nvSpPr>
      <xdr:spPr>
        <a:xfrm>
          <a:off x="6543675" y="2019300"/>
          <a:ext cx="319896" cy="3606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>
              <a:solidFill>
                <a:schemeClr val="accent4"/>
              </a:solidFill>
              <a:latin typeface="Cascadia Code" panose="020B0609020000020004" pitchFamily="49" charset="0"/>
              <a:cs typeface="Cascadia Code" panose="020B0609020000020004" pitchFamily="49" charset="0"/>
            </a:rPr>
            <a:t>2</a:t>
          </a:r>
        </a:p>
      </xdr:txBody>
    </xdr:sp>
    <xdr:clientData/>
  </xdr:oneCellAnchor>
  <xdr:twoCellAnchor>
    <xdr:from>
      <xdr:col>4</xdr:col>
      <xdr:colOff>119063</xdr:colOff>
      <xdr:row>14</xdr:row>
      <xdr:rowOff>106136</xdr:rowOff>
    </xdr:from>
    <xdr:to>
      <xdr:col>11</xdr:col>
      <xdr:colOff>426584</xdr:colOff>
      <xdr:row>28</xdr:row>
      <xdr:rowOff>178934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FA5211-1F09-1FCD-FA8B-B3A761D14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414568</xdr:colOff>
      <xdr:row>14</xdr:row>
      <xdr:rowOff>121402</xdr:rowOff>
    </xdr:from>
    <xdr:to>
      <xdr:col>19</xdr:col>
      <xdr:colOff>712899</xdr:colOff>
      <xdr:row>29</xdr:row>
      <xdr:rowOff>7102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3EAFF6-B84B-911D-67D4-F48BA4CF5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63E0FD-6814-4397-B028-DECC362C0E2D}" name="Table1" displayName="Table1" ref="A1:I21" totalsRowShown="0">
  <autoFilter ref="A1:I21" xr:uid="{CA63E0FD-6814-4397-B028-DECC362C0E2D}"/>
  <tableColumns count="9">
    <tableColumn id="1" xr3:uid="{468AFBD5-219A-44CF-B331-8AA2A250824D}" name="Invoice ID">
      <calculatedColumnFormula>UPPER(RIGHT(B2,4))&amp;TEXT(C2,"MMYY")</calculatedColumnFormula>
    </tableColumn>
    <tableColumn id="2" xr3:uid="{704FACB8-9DA3-46E3-8B5C-65132AE9E091}" name="Customer Name"/>
    <tableColumn id="3" xr3:uid="{D8D834C0-B06E-4246-B21C-18754B29A702}" name="Invoice Date" dataDxfId="3"/>
    <tableColumn id="4" xr3:uid="{935DD725-5DB7-46DC-950E-C98F5CB844BE}" name="Due Date" dataDxfId="2"/>
    <tableColumn id="5" xr3:uid="{FE3143C4-E6C4-49BD-949B-00BEB69EBC2A}" name="Amount"/>
    <tableColumn id="6" xr3:uid="{C3CF4409-1760-47AD-8CBE-E0C6E4BC395E}" name="Amount Paid"/>
    <tableColumn id="7" xr3:uid="{BD4B2093-6F70-4089-A11C-C804DEE22B16}" name="Status">
      <calculatedColumnFormula>IF(F2&gt;=E2,"paid",IF(TODAY()&gt;D2,"Overdue","pending"))</calculatedColumnFormula>
    </tableColumn>
    <tableColumn id="8" xr3:uid="{6F3D7F16-2EDD-4958-A2E7-A467D2B9BDD9}" name="Overdue">
      <calculatedColumnFormula>IF(G2="Overdue",TODAY()-D2,0)</calculatedColumnFormula>
    </tableColumn>
    <tableColumn id="9" xr3:uid="{22C7408C-0682-48C6-A8CE-E7861B9A6D4C}" name="Alert">
      <calculatedColumnFormula>IF(G2="paid","Paid",IF(D2-TODAY()&lt;=3,IF(D2&gt;=TODAY(),"Remainder:Due soon","Overdue"),""))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307C58-AD6A-46DB-A924-7F766FC1DEC8}" name="Table4" displayName="Table4" ref="S7:T10" totalsRowShown="0">
  <autoFilter ref="S7:T10" xr:uid="{0B307C58-AD6A-46DB-A924-7F766FC1DEC8}"/>
  <tableColumns count="2">
    <tableColumn id="1" xr3:uid="{D65C19CE-26A7-4E3B-BECF-FD0719C91393}" name="STATUS"/>
    <tableColumn id="2" xr3:uid="{E6CA6224-4D29-4A23-89DA-2D0E557469E8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2F6C-90A7-4D90-A53A-F2E13C1ACF14}">
  <dimension ref="A1:I21"/>
  <sheetViews>
    <sheetView workbookViewId="0">
      <selection activeCell="K1" sqref="K1"/>
    </sheetView>
  </sheetViews>
  <sheetFormatPr defaultRowHeight="15" x14ac:dyDescent="0.25"/>
  <cols>
    <col min="1" max="1" width="11.85546875" customWidth="1"/>
    <col min="2" max="2" width="17.42578125" customWidth="1"/>
    <col min="3" max="3" width="14.140625" customWidth="1"/>
    <col min="4" max="4" width="11.28515625" customWidth="1"/>
    <col min="5" max="5" width="10.28515625" customWidth="1"/>
    <col min="6" max="6" width="14.5703125" customWidth="1"/>
    <col min="7" max="7" width="10.42578125" customWidth="1"/>
    <col min="8" max="8" width="10.85546875" customWidth="1"/>
    <col min="9" max="9" width="19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</row>
    <row r="2" spans="1:9" x14ac:dyDescent="0.25">
      <c r="A2" t="str">
        <f t="shared" ref="A2:A21" si="0">UPPER(RIGHT(B2,4))&amp;TEXT(C2,"MMYY")</f>
        <v>IVAM0626</v>
      </c>
      <c r="B2" t="s">
        <v>6</v>
      </c>
      <c r="C2" s="1">
        <v>46186</v>
      </c>
      <c r="D2" s="1">
        <v>46206</v>
      </c>
      <c r="E2">
        <v>15000</v>
      </c>
      <c r="F2">
        <v>15000</v>
      </c>
      <c r="G2" t="str">
        <f t="shared" ref="G2:G5" ca="1" si="1">IF(F2&gt;=E2,"paid",IF(TODAY()&gt;D2,"Overdue","pending"))</f>
        <v>paid</v>
      </c>
      <c r="H2">
        <f t="shared" ref="H2:H5" ca="1" si="2">IF(G2="Overdue",TODAY()-D2,0)</f>
        <v>0</v>
      </c>
      <c r="I2" t="str">
        <f t="shared" ref="I2:I5" ca="1" si="3">IF(G2="paid","Paid",IF(D2-TODAY()&lt;=3,IF(D2&gt;=TODAY(),"Remainder:Due soon","Overdue"),""))</f>
        <v>Paid</v>
      </c>
    </row>
    <row r="3" spans="1:9" x14ac:dyDescent="0.25">
      <c r="A3" t="str">
        <f t="shared" si="0"/>
        <v>SHNA0626</v>
      </c>
      <c r="B3" t="s">
        <v>7</v>
      </c>
      <c r="C3" s="1">
        <v>46188</v>
      </c>
      <c r="D3" s="1">
        <v>46200</v>
      </c>
      <c r="E3">
        <v>40000</v>
      </c>
      <c r="F3">
        <v>38000</v>
      </c>
      <c r="G3" t="str">
        <f t="shared" ca="1" si="1"/>
        <v>pending</v>
      </c>
      <c r="H3">
        <f t="shared" ca="1" si="2"/>
        <v>0</v>
      </c>
      <c r="I3" t="str">
        <f t="shared" ca="1" si="3"/>
        <v>Remainder:Due soon</v>
      </c>
    </row>
    <row r="4" spans="1:9" x14ac:dyDescent="0.25">
      <c r="A4" t="str">
        <f t="shared" si="0"/>
        <v>SHEH0626</v>
      </c>
      <c r="B4" t="s">
        <v>17</v>
      </c>
      <c r="C4" s="1">
        <v>46191</v>
      </c>
      <c r="D4" s="1">
        <v>46202</v>
      </c>
      <c r="E4">
        <v>54000</v>
      </c>
      <c r="F4">
        <v>0</v>
      </c>
      <c r="G4" t="str">
        <f ca="1">IF(F4&gt;=E4,"paid",IF(TODAY()&gt;D4,"Overdue","pending"))</f>
        <v>pending</v>
      </c>
      <c r="H4">
        <f ca="1">IF(G4="Overdue",TODAY()-D4,0)</f>
        <v>0</v>
      </c>
      <c r="I4" t="str">
        <f ca="1">IF(G4="paid","Paid",IF(D4-TODAY()&lt;=3,IF(D4&gt;=TODAY(),"Remainder:Due soon","Overdue"),""))</f>
        <v>Remainder:Due soon</v>
      </c>
    </row>
    <row r="5" spans="1:9" x14ac:dyDescent="0.25">
      <c r="A5" t="str">
        <f t="shared" si="0"/>
        <v>EYAN0626</v>
      </c>
      <c r="B5" t="s">
        <v>8</v>
      </c>
      <c r="C5" s="1">
        <v>46178</v>
      </c>
      <c r="D5" s="1">
        <v>46196</v>
      </c>
      <c r="E5">
        <v>50000</v>
      </c>
      <c r="F5">
        <v>50000</v>
      </c>
      <c r="G5" t="str">
        <f t="shared" ca="1" si="1"/>
        <v>paid</v>
      </c>
      <c r="H5">
        <f t="shared" ca="1" si="2"/>
        <v>0</v>
      </c>
      <c r="I5" t="str">
        <f t="shared" ca="1" si="3"/>
        <v>Paid</v>
      </c>
    </row>
    <row r="6" spans="1:9" x14ac:dyDescent="0.25">
      <c r="A6" t="str">
        <f t="shared" si="0"/>
        <v>KASH0626</v>
      </c>
      <c r="B6" t="s">
        <v>12</v>
      </c>
      <c r="C6" s="1">
        <v>46181</v>
      </c>
      <c r="D6" s="1">
        <v>46211</v>
      </c>
      <c r="E6">
        <v>50000</v>
      </c>
      <c r="F6">
        <v>45000</v>
      </c>
      <c r="G6" t="str">
        <f t="shared" ref="G6:G21" ca="1" si="4">IF(F6&gt;=E6,"paid",IF(TODAY()&gt;D6,"Overdue","pending"))</f>
        <v>pending</v>
      </c>
      <c r="H6">
        <f t="shared" ref="H6:H21" ca="1" si="5">IF(G6="Overdue",TODAY()-D6,0)</f>
        <v>0</v>
      </c>
      <c r="I6" t="str">
        <f t="shared" ref="I6:I21" ca="1" si="6">IF(G6="paid","Paid",IF(D6-TODAY()&lt;=3,IF(D6&gt;=TODAY(),"Remainder:Due soon","Overdue"),""))</f>
        <v/>
      </c>
    </row>
    <row r="7" spans="1:9" x14ac:dyDescent="0.25">
      <c r="A7" t="str">
        <f t="shared" si="0"/>
        <v>ETHA0526</v>
      </c>
      <c r="B7" t="s">
        <v>14</v>
      </c>
      <c r="C7" s="1">
        <v>46150</v>
      </c>
      <c r="D7" s="1">
        <v>46189</v>
      </c>
      <c r="E7">
        <v>46000</v>
      </c>
      <c r="F7">
        <v>45000</v>
      </c>
      <c r="G7" t="str">
        <f t="shared" ca="1" si="4"/>
        <v>Overdue</v>
      </c>
      <c r="H7">
        <f t="shared" ca="1" si="5"/>
        <v>11</v>
      </c>
      <c r="I7" t="str">
        <f t="shared" ca="1" si="6"/>
        <v>Overdue</v>
      </c>
    </row>
    <row r="8" spans="1:9" x14ac:dyDescent="0.25">
      <c r="A8" t="str">
        <f t="shared" si="0"/>
        <v>KASH0526</v>
      </c>
      <c r="B8" t="s">
        <v>15</v>
      </c>
      <c r="C8" s="1">
        <v>46145</v>
      </c>
      <c r="D8" s="1">
        <v>46187</v>
      </c>
      <c r="E8">
        <v>56000</v>
      </c>
      <c r="F8">
        <v>55000</v>
      </c>
      <c r="G8" t="str">
        <f t="shared" ca="1" si="4"/>
        <v>Overdue</v>
      </c>
      <c r="H8">
        <f t="shared" ca="1" si="5"/>
        <v>13</v>
      </c>
      <c r="I8" t="str">
        <f t="shared" ca="1" si="6"/>
        <v>Overdue</v>
      </c>
    </row>
    <row r="9" spans="1:9" x14ac:dyDescent="0.25">
      <c r="A9" t="str">
        <f t="shared" si="0"/>
        <v>AJAN0526</v>
      </c>
      <c r="B9" t="s">
        <v>16</v>
      </c>
      <c r="C9" s="1">
        <v>46144</v>
      </c>
      <c r="D9" s="1">
        <v>46188</v>
      </c>
      <c r="E9">
        <v>55000</v>
      </c>
      <c r="F9">
        <v>55000</v>
      </c>
      <c r="G9" t="str">
        <f t="shared" ca="1" si="4"/>
        <v>paid</v>
      </c>
      <c r="H9">
        <f t="shared" ca="1" si="5"/>
        <v>0</v>
      </c>
      <c r="I9" t="str">
        <f t="shared" ca="1" si="6"/>
        <v>Paid</v>
      </c>
    </row>
    <row r="10" spans="1:9" x14ac:dyDescent="0.25">
      <c r="A10" t="str">
        <f t="shared" si="0"/>
        <v>NISH0526</v>
      </c>
      <c r="B10" t="s">
        <v>18</v>
      </c>
      <c r="C10" s="1">
        <v>46147</v>
      </c>
      <c r="D10" s="1">
        <v>46188</v>
      </c>
      <c r="E10">
        <v>60000</v>
      </c>
      <c r="F10">
        <v>36000</v>
      </c>
      <c r="G10" t="str">
        <f t="shared" ca="1" si="4"/>
        <v>Overdue</v>
      </c>
      <c r="H10">
        <f t="shared" ca="1" si="5"/>
        <v>12</v>
      </c>
      <c r="I10" t="str">
        <f t="shared" ca="1" si="6"/>
        <v>Overdue</v>
      </c>
    </row>
    <row r="11" spans="1:9" x14ac:dyDescent="0.25">
      <c r="A11" t="str">
        <f t="shared" si="0"/>
        <v>HISH0526</v>
      </c>
      <c r="B11" t="s">
        <v>19</v>
      </c>
      <c r="C11" s="1">
        <v>46148</v>
      </c>
      <c r="D11" s="1">
        <v>46189</v>
      </c>
      <c r="E11">
        <v>54000</v>
      </c>
      <c r="F11">
        <v>53000</v>
      </c>
      <c r="G11" t="str">
        <f t="shared" ca="1" si="4"/>
        <v>Overdue</v>
      </c>
      <c r="H11">
        <f t="shared" ca="1" si="5"/>
        <v>11</v>
      </c>
      <c r="I11" t="str">
        <f t="shared" ca="1" si="6"/>
        <v>Overdue</v>
      </c>
    </row>
    <row r="12" spans="1:9" x14ac:dyDescent="0.25">
      <c r="A12" t="str">
        <f t="shared" si="0"/>
        <v>JITH0526</v>
      </c>
      <c r="B12" t="s">
        <v>20</v>
      </c>
      <c r="C12" s="1">
        <v>46149</v>
      </c>
      <c r="D12" s="1">
        <v>46190</v>
      </c>
      <c r="E12">
        <v>56000</v>
      </c>
      <c r="F12">
        <v>55000</v>
      </c>
      <c r="G12" t="str">
        <f t="shared" ca="1" si="4"/>
        <v>Overdue</v>
      </c>
      <c r="H12">
        <f t="shared" ca="1" si="5"/>
        <v>10</v>
      </c>
      <c r="I12" t="str">
        <f t="shared" ca="1" si="6"/>
        <v>Overdue</v>
      </c>
    </row>
    <row r="13" spans="1:9" x14ac:dyDescent="0.25">
      <c r="A13" t="str">
        <f t="shared" si="0"/>
        <v>RTHI0526</v>
      </c>
      <c r="B13" t="s">
        <v>21</v>
      </c>
      <c r="C13" s="1">
        <v>46150</v>
      </c>
      <c r="D13" s="1">
        <v>46191</v>
      </c>
      <c r="E13">
        <v>65000</v>
      </c>
      <c r="F13">
        <v>63000</v>
      </c>
      <c r="G13" t="str">
        <f t="shared" ca="1" si="4"/>
        <v>Overdue</v>
      </c>
      <c r="H13">
        <f t="shared" ca="1" si="5"/>
        <v>9</v>
      </c>
      <c r="I13" t="str">
        <f t="shared" ca="1" si="6"/>
        <v>Overdue</v>
      </c>
    </row>
    <row r="14" spans="1:9" x14ac:dyDescent="0.25">
      <c r="A14" t="str">
        <f t="shared" si="0"/>
        <v>KSHA0526</v>
      </c>
      <c r="B14" t="s">
        <v>22</v>
      </c>
      <c r="C14" s="1">
        <v>46157</v>
      </c>
      <c r="D14" s="1">
        <v>46193</v>
      </c>
      <c r="E14">
        <v>45000</v>
      </c>
      <c r="F14">
        <v>45000</v>
      </c>
      <c r="G14" t="str">
        <f t="shared" ca="1" si="4"/>
        <v>paid</v>
      </c>
      <c r="H14">
        <f t="shared" ca="1" si="5"/>
        <v>0</v>
      </c>
      <c r="I14" t="str">
        <f t="shared" ca="1" si="6"/>
        <v>Paid</v>
      </c>
    </row>
    <row r="15" spans="1:9" x14ac:dyDescent="0.25">
      <c r="A15" t="str">
        <f t="shared" si="0"/>
        <v>NNAN0526</v>
      </c>
      <c r="B15" t="s">
        <v>23</v>
      </c>
      <c r="C15" s="1">
        <v>46158</v>
      </c>
      <c r="D15" s="1">
        <v>46190</v>
      </c>
      <c r="E15">
        <v>50000</v>
      </c>
      <c r="F15">
        <v>50000</v>
      </c>
      <c r="G15" t="str">
        <f t="shared" ca="1" si="4"/>
        <v>paid</v>
      </c>
      <c r="H15">
        <f t="shared" ca="1" si="5"/>
        <v>0</v>
      </c>
      <c r="I15" t="str">
        <f t="shared" ca="1" si="6"/>
        <v>Paid</v>
      </c>
    </row>
    <row r="16" spans="1:9" x14ac:dyDescent="0.25">
      <c r="A16" t="str">
        <f t="shared" si="0"/>
        <v>DRAN0526</v>
      </c>
      <c r="B16" t="s">
        <v>24</v>
      </c>
      <c r="C16" s="1">
        <v>46159</v>
      </c>
      <c r="D16" s="1">
        <v>46191</v>
      </c>
      <c r="E16">
        <v>36000</v>
      </c>
      <c r="F16">
        <v>36000</v>
      </c>
      <c r="G16" t="str">
        <f t="shared" ca="1" si="4"/>
        <v>paid</v>
      </c>
      <c r="H16">
        <f t="shared" ca="1" si="5"/>
        <v>0</v>
      </c>
      <c r="I16" t="str">
        <f t="shared" ca="1" si="6"/>
        <v>Paid</v>
      </c>
    </row>
    <row r="17" spans="1:9" x14ac:dyDescent="0.25">
      <c r="A17" t="str">
        <f t="shared" si="0"/>
        <v>HINI0526</v>
      </c>
      <c r="B17" t="s">
        <v>25</v>
      </c>
      <c r="C17" s="1">
        <v>46160</v>
      </c>
      <c r="D17" s="1">
        <v>46192</v>
      </c>
      <c r="E17">
        <v>40000</v>
      </c>
      <c r="F17">
        <v>35000</v>
      </c>
      <c r="G17" t="str">
        <f t="shared" ca="1" si="4"/>
        <v>Overdue</v>
      </c>
      <c r="H17">
        <f t="shared" ca="1" si="5"/>
        <v>8</v>
      </c>
      <c r="I17" t="str">
        <f t="shared" ca="1" si="6"/>
        <v>Overdue</v>
      </c>
    </row>
    <row r="18" spans="1:9" x14ac:dyDescent="0.25">
      <c r="A18" t="str">
        <f t="shared" si="0"/>
        <v>ARAN0526</v>
      </c>
      <c r="B18" t="s">
        <v>26</v>
      </c>
      <c r="C18" s="1">
        <v>46161</v>
      </c>
      <c r="D18" s="1">
        <v>46193</v>
      </c>
      <c r="E18">
        <v>80000</v>
      </c>
      <c r="F18">
        <v>56000</v>
      </c>
      <c r="G18" t="str">
        <f t="shared" ca="1" si="4"/>
        <v>Overdue</v>
      </c>
      <c r="H18">
        <f t="shared" ca="1" si="5"/>
        <v>7</v>
      </c>
      <c r="I18" t="str">
        <f t="shared" ca="1" si="6"/>
        <v>Overdue</v>
      </c>
    </row>
    <row r="19" spans="1:9" x14ac:dyDescent="0.25">
      <c r="A19" t="str">
        <f t="shared" si="0"/>
        <v>ALYA0526</v>
      </c>
      <c r="B19" t="s">
        <v>27</v>
      </c>
      <c r="C19" s="1">
        <v>46162</v>
      </c>
      <c r="D19" s="1">
        <v>46194</v>
      </c>
      <c r="E19">
        <v>45000</v>
      </c>
      <c r="F19">
        <v>45000</v>
      </c>
      <c r="G19" t="str">
        <f t="shared" ca="1" si="4"/>
        <v>paid</v>
      </c>
      <c r="H19">
        <f t="shared" ca="1" si="5"/>
        <v>0</v>
      </c>
      <c r="I19" t="str">
        <f t="shared" ca="1" si="6"/>
        <v>Paid</v>
      </c>
    </row>
    <row r="20" spans="1:9" x14ac:dyDescent="0.25">
      <c r="A20" t="str">
        <f t="shared" si="0"/>
        <v>TONY0526</v>
      </c>
      <c r="B20" t="s">
        <v>28</v>
      </c>
      <c r="C20" s="1">
        <v>46163</v>
      </c>
      <c r="D20" s="1">
        <v>46195</v>
      </c>
      <c r="E20">
        <v>50000</v>
      </c>
      <c r="F20">
        <v>50000</v>
      </c>
      <c r="G20" t="str">
        <f t="shared" ca="1" si="4"/>
        <v>paid</v>
      </c>
      <c r="H20">
        <f t="shared" ca="1" si="5"/>
        <v>0</v>
      </c>
      <c r="I20" t="str">
        <f t="shared" ca="1" si="6"/>
        <v>Paid</v>
      </c>
    </row>
    <row r="21" spans="1:9" x14ac:dyDescent="0.25">
      <c r="A21" t="str">
        <f t="shared" si="0"/>
        <v>SHNA0526</v>
      </c>
      <c r="B21" t="s">
        <v>29</v>
      </c>
      <c r="C21" s="1">
        <v>46164</v>
      </c>
      <c r="D21" s="1">
        <v>46196</v>
      </c>
      <c r="E21">
        <v>35000</v>
      </c>
      <c r="F21">
        <v>35000</v>
      </c>
      <c r="G21" t="str">
        <f t="shared" ca="1" si="4"/>
        <v>paid</v>
      </c>
      <c r="H21">
        <f t="shared" ca="1" si="5"/>
        <v>0</v>
      </c>
      <c r="I21" t="str">
        <f t="shared" ca="1" si="6"/>
        <v>Paid</v>
      </c>
    </row>
  </sheetData>
  <conditionalFormatting sqref="G2:G21">
    <cfRule type="expression" dxfId="1" priority="1">
      <formula>$G2="Paid"</formula>
    </cfRule>
    <cfRule type="expression" dxfId="0" priority="2">
      <formula>$G2="Overdue"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8D17-804B-4FFC-8427-C3AC7DD0EA2F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4435-DEF6-4E81-B830-70E73EB6E258}">
  <dimension ref="G1:Z19"/>
  <sheetViews>
    <sheetView tabSelected="1" zoomScale="64" workbookViewId="0">
      <selection activeCell="Y10" sqref="Y10"/>
    </sheetView>
  </sheetViews>
  <sheetFormatPr defaultRowHeight="15" x14ac:dyDescent="0.25"/>
  <cols>
    <col min="19" max="19" width="14.28515625" bestFit="1" customWidth="1"/>
    <col min="20" max="22" width="11" customWidth="1"/>
  </cols>
  <sheetData>
    <row r="1" spans="7:20" ht="15" customHeight="1" x14ac:dyDescent="0.25">
      <c r="G1" s="2" t="s">
        <v>13</v>
      </c>
      <c r="H1" s="2"/>
      <c r="I1" s="2"/>
      <c r="J1" s="2"/>
      <c r="K1" s="2"/>
      <c r="L1" s="2"/>
      <c r="M1" s="2"/>
      <c r="N1" s="2"/>
      <c r="O1" s="2"/>
    </row>
    <row r="2" spans="7:20" x14ac:dyDescent="0.25">
      <c r="G2" s="2"/>
      <c r="H2" s="2"/>
      <c r="I2" s="2"/>
      <c r="J2" s="2"/>
      <c r="K2" s="2"/>
      <c r="L2" s="2"/>
      <c r="M2" s="2"/>
      <c r="N2" s="2"/>
      <c r="O2" s="2"/>
    </row>
    <row r="7" spans="7:20" x14ac:dyDescent="0.25">
      <c r="S7" t="s">
        <v>33</v>
      </c>
      <c r="T7" t="s">
        <v>34</v>
      </c>
    </row>
    <row r="8" spans="7:20" x14ac:dyDescent="0.25">
      <c r="S8" t="s">
        <v>30</v>
      </c>
      <c r="T8">
        <f ca="1">COUNTIF(Table1[Status],Invoice_tracker!G5)</f>
        <v>9</v>
      </c>
    </row>
    <row r="9" spans="7:20" x14ac:dyDescent="0.25">
      <c r="S9" t="s">
        <v>31</v>
      </c>
      <c r="T9">
        <f ca="1">COUNTIF(Table1[Status],Invoice_tracker!G17)</f>
        <v>8</v>
      </c>
    </row>
    <row r="10" spans="7:20" x14ac:dyDescent="0.25">
      <c r="S10" t="s">
        <v>32</v>
      </c>
      <c r="T10">
        <f ca="1">COUNTIF(Table1[Status],Invoice_tracker!G3)</f>
        <v>3</v>
      </c>
    </row>
    <row r="18" spans="26:26" x14ac:dyDescent="0.25">
      <c r="Z18">
        <v>120000</v>
      </c>
    </row>
    <row r="19" spans="26:26" x14ac:dyDescent="0.25">
      <c r="Z19">
        <v>862000</v>
      </c>
    </row>
  </sheetData>
  <mergeCells count="1">
    <mergeCell ref="G1:O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BB56DF-E2FD-4D3B-9ED9-9F98D77D89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Invoice_tracker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2026-06-26T10:29:45Z</dcterms:created>
  <dcterms:modified xsi:type="dcterms:W3CDTF">2026-06-27T07:00:17Z</dcterms:modified>
</cp:coreProperties>
</file>